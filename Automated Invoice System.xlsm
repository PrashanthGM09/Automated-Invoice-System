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autoCompressPictures="0"/>
  <bookViews>
    <workbookView xWindow="-120" yWindow="-120" windowWidth="20730" windowHeight="11160"/>
  </bookViews>
  <sheets>
    <sheet name="Billing Statement" sheetId="1" r:id="rId1"/>
    <sheet name="Billing Record" sheetId="2" r:id="rId2"/>
    <sheet name="Billing Tracker" sheetId="3" r:id="rId3"/>
  </sheets>
  <calcPr calcId="124519"/>
  <webPublishing codePage="1252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0" i="3"/>
  <c r="E20"/>
  <c r="E19"/>
  <c r="E18"/>
  <c r="E17"/>
  <c r="E16"/>
  <c r="E15"/>
  <c r="E14"/>
  <c r="E13"/>
  <c r="E12"/>
  <c r="F15" i="1"/>
  <c r="G15" i="3" s="1"/>
  <c r="G17" l="1"/>
  <c r="G19"/>
  <c r="G16"/>
  <c r="G18"/>
  <c r="G12"/>
  <c r="G13"/>
  <c r="G14"/>
  <c r="E11"/>
  <c r="E10"/>
  <c r="E9"/>
  <c r="E8"/>
  <c r="E7"/>
  <c r="E6"/>
  <c r="E5"/>
  <c r="E4"/>
  <c r="H2"/>
  <c r="F2"/>
  <c r="D2"/>
  <c r="C2"/>
  <c r="B2"/>
  <c r="A2"/>
  <c r="H2" i="2"/>
  <c r="G11" i="3"/>
  <c r="B2" i="2"/>
  <c r="C2"/>
  <c r="D2"/>
  <c r="F2"/>
  <c r="A2"/>
  <c r="C23" i="1"/>
  <c r="C22"/>
  <c r="E2" i="2" l="1"/>
  <c r="G9" i="3"/>
  <c r="G10"/>
  <c r="G8"/>
  <c r="G7"/>
  <c r="G6"/>
  <c r="E2"/>
  <c r="G5"/>
  <c r="G4"/>
  <c r="H15" i="1"/>
  <c r="C9"/>
  <c r="C24" s="1"/>
  <c r="G2" i="2" l="1"/>
  <c r="G2" i="3"/>
  <c r="H16" i="1"/>
  <c r="C25" s="1"/>
</calcChain>
</file>

<file path=xl/sharedStrings.xml><?xml version="1.0" encoding="utf-8"?>
<sst xmlns="http://schemas.openxmlformats.org/spreadsheetml/2006/main" count="59" uniqueCount="37">
  <si>
    <t>Your Company Name</t>
  </si>
  <si>
    <t>Street Address</t>
  </si>
  <si>
    <t>Phone:</t>
  </si>
  <si>
    <t>(413) 555-0190</t>
  </si>
  <si>
    <t>Address 2</t>
  </si>
  <si>
    <t>Fax:</t>
  </si>
  <si>
    <t>(413) 555-0191</t>
  </si>
  <si>
    <t>City, ST  ZIP Code</t>
  </si>
  <si>
    <t>E-mail:</t>
  </si>
  <si>
    <t>someone@example.com</t>
  </si>
  <si>
    <t>Statement</t>
  </si>
  <si>
    <t>Statement #:</t>
  </si>
  <si>
    <t>Enter statement number</t>
  </si>
  <si>
    <t>Bill To:</t>
  </si>
  <si>
    <t>Date:</t>
  </si>
  <si>
    <t>Company Name</t>
  </si>
  <si>
    <t>Customer ID:</t>
  </si>
  <si>
    <t>Enter customer ID</t>
  </si>
  <si>
    <t>Date</t>
  </si>
  <si>
    <t>Amount</t>
  </si>
  <si>
    <t>Payment</t>
  </si>
  <si>
    <t>Balance</t>
  </si>
  <si>
    <t>REMITTANCE</t>
  </si>
  <si>
    <t>Customer Name:</t>
  </si>
  <si>
    <t>Enter customer name</t>
  </si>
  <si>
    <t>Amount Due:</t>
  </si>
  <si>
    <t>Amount Enclosed:</t>
  </si>
  <si>
    <t xml:space="preserve"> Total </t>
  </si>
  <si>
    <r>
      <t xml:space="preserve">Reminder: </t>
    </r>
    <r>
      <rPr>
        <sz val="10"/>
        <color indexed="55"/>
        <rFont val="Gill Sans MT"/>
        <family val="2"/>
        <scheme val="minor"/>
      </rPr>
      <t>Please include the statement number on your check.</t>
    </r>
  </si>
  <si>
    <r>
      <t xml:space="preserve">Terms: </t>
    </r>
    <r>
      <rPr>
        <sz val="10"/>
        <color indexed="55"/>
        <rFont val="Gill Sans MT"/>
        <family val="2"/>
        <scheme val="minor"/>
      </rPr>
      <t>Balance due in 30 days.</t>
    </r>
  </si>
  <si>
    <t>Name:</t>
  </si>
  <si>
    <t>ABC</t>
  </si>
  <si>
    <t>Billing Company</t>
  </si>
  <si>
    <t>Invoice Number</t>
  </si>
  <si>
    <t>Product</t>
  </si>
  <si>
    <t>Quantity</t>
  </si>
  <si>
    <t>XYZ</t>
  </si>
</sst>
</file>

<file path=xl/styles.xml><?xml version="1.0" encoding="utf-8"?>
<styleSheet xmlns="http://schemas.openxmlformats.org/spreadsheetml/2006/main">
  <numFmts count="3">
    <numFmt numFmtId="7" formatCode="&quot;$&quot;#,##0.00_);\(&quot;$&quot;#,##0.00\)"/>
    <numFmt numFmtId="44" formatCode="_(&quot;$&quot;* #,##0.00_);_(&quot;$&quot;* \(#,##0.00\);_(&quot;$&quot;* &quot;-&quot;??_);_(@_)"/>
    <numFmt numFmtId="164" formatCode="[$-409]mmmm\ d\,\ yyyy;@"/>
  </numFmts>
  <fonts count="14">
    <font>
      <sz val="11"/>
      <color theme="1"/>
      <name val="Gill Sans MT"/>
      <family val="2"/>
      <scheme val="minor"/>
    </font>
    <font>
      <b/>
      <sz val="16"/>
      <color theme="1"/>
      <name val="Gill Sans MT"/>
      <family val="2"/>
      <scheme val="minor"/>
    </font>
    <font>
      <sz val="10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b/>
      <sz val="11"/>
      <color theme="0"/>
      <name val="Gill Sans MT"/>
      <family val="2"/>
      <scheme val="minor"/>
    </font>
    <font>
      <b/>
      <sz val="10"/>
      <color indexed="55"/>
      <name val="Gill Sans MT"/>
      <family val="2"/>
      <scheme val="minor"/>
    </font>
    <font>
      <b/>
      <i/>
      <sz val="14"/>
      <color indexed="55"/>
      <name val="Gill Sans MT"/>
      <family val="2"/>
      <scheme val="minor"/>
    </font>
    <font>
      <sz val="10"/>
      <color indexed="55"/>
      <name val="Gill Sans MT"/>
      <family val="2"/>
      <scheme val="minor"/>
    </font>
    <font>
      <b/>
      <sz val="16"/>
      <color theme="1"/>
      <name val="Bookman Old Style"/>
      <family val="1"/>
      <scheme val="major"/>
    </font>
    <font>
      <b/>
      <i/>
      <sz val="11"/>
      <color indexed="55"/>
      <name val="Gill Sans MT"/>
      <family val="2"/>
      <scheme val="minor"/>
    </font>
    <font>
      <sz val="10"/>
      <color theme="1"/>
      <name val="Gill Sans MT"/>
      <scheme val="minor"/>
    </font>
    <font>
      <b/>
      <sz val="11"/>
      <color theme="1"/>
      <name val="Gill Sans MT"/>
      <family val="2"/>
      <scheme val="minor"/>
    </font>
    <font>
      <b/>
      <sz val="10"/>
      <color theme="1"/>
      <name val="Gill Sans MT"/>
      <family val="2"/>
      <scheme val="minor"/>
    </font>
    <font>
      <u/>
      <sz val="11"/>
      <color theme="1"/>
      <name val="Gill Sans MT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 tint="0.39994506668294322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5" tint="0.59999389629810485"/>
        <bgColor theme="5" tint="0.59999389629810485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theme="2"/>
      </left>
      <right/>
      <top/>
      <bottom/>
      <diagonal/>
    </border>
    <border>
      <left/>
      <right style="thin">
        <color theme="2"/>
      </right>
      <top/>
      <bottom/>
      <diagonal/>
    </border>
    <border>
      <left style="thin">
        <color theme="2"/>
      </left>
      <right/>
      <top/>
      <bottom style="thin">
        <color indexed="22"/>
      </bottom>
      <diagonal/>
    </border>
    <border>
      <left/>
      <right style="thin">
        <color theme="2"/>
      </right>
      <top/>
      <bottom style="thin">
        <color indexed="22"/>
      </bottom>
      <diagonal/>
    </border>
    <border>
      <left style="thin">
        <color theme="2"/>
      </left>
      <right/>
      <top style="thin">
        <color indexed="22"/>
      </top>
      <bottom style="thin">
        <color indexed="22"/>
      </bottom>
      <diagonal/>
    </border>
    <border>
      <left/>
      <right style="thin">
        <color theme="2"/>
      </right>
      <top style="thin">
        <color indexed="22"/>
      </top>
      <bottom style="thin">
        <color indexed="22"/>
      </bottom>
      <diagonal/>
    </border>
    <border>
      <left style="thin">
        <color theme="2"/>
      </left>
      <right/>
      <top style="thin">
        <color indexed="22"/>
      </top>
      <bottom style="thin">
        <color theme="2"/>
      </bottom>
      <diagonal/>
    </border>
    <border>
      <left/>
      <right/>
      <top style="thin">
        <color indexed="22"/>
      </top>
      <bottom style="thin">
        <color theme="2"/>
      </bottom>
      <diagonal/>
    </border>
    <border>
      <left/>
      <right style="thin">
        <color theme="2"/>
      </right>
      <top style="thin">
        <color indexed="22"/>
      </top>
      <bottom style="thin">
        <color theme="2"/>
      </bottom>
      <diagonal/>
    </border>
    <border>
      <left style="thin">
        <color theme="5" tint="0.39997558519241921"/>
      </left>
      <right style="thin">
        <color theme="5" tint="0.39997558519241921"/>
      </right>
      <top style="medium">
        <color theme="5"/>
      </top>
      <bottom style="thin">
        <color theme="5" tint="0.39997558519241921"/>
      </bottom>
      <diagonal/>
    </border>
    <border>
      <left style="thin">
        <color theme="5" tint="0.39997558519241921"/>
      </left>
      <right/>
      <top style="thin">
        <color theme="5" tint="0.39997558519241921"/>
      </top>
      <bottom/>
      <diagonal/>
    </border>
    <border>
      <left style="thin">
        <color theme="5" tint="0.39997558519241921"/>
      </left>
      <right style="thin">
        <color theme="5" tint="0.39997558519241921"/>
      </right>
      <top style="thin">
        <color theme="5" tint="0.39997558519241921"/>
      </top>
      <bottom/>
      <diagonal/>
    </border>
    <border>
      <left style="thin">
        <color theme="5" tint="0.39997558519241921"/>
      </left>
      <right/>
      <top style="medium">
        <color theme="5"/>
      </top>
      <bottom style="thin">
        <color theme="5" tint="0.39997558519241921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2" fillId="0" borderId="0" xfId="0" applyFont="1"/>
    <xf numFmtId="0" fontId="1" fillId="0" borderId="0" xfId="0" applyFont="1" applyAlignment="1">
      <alignment vertical="center"/>
    </xf>
    <xf numFmtId="0" fontId="5" fillId="0" borderId="0" xfId="0" applyFont="1" applyAlignment="1">
      <alignment horizontal="left"/>
    </xf>
    <xf numFmtId="0" fontId="3" fillId="0" borderId="0" xfId="0" applyFont="1"/>
    <xf numFmtId="0" fontId="6" fillId="0" borderId="0" xfId="0" applyFont="1"/>
    <xf numFmtId="0" fontId="7" fillId="0" borderId="0" xfId="0" applyFont="1" applyAlignment="1">
      <alignment horizontal="left"/>
    </xf>
    <xf numFmtId="0" fontId="7" fillId="0" borderId="0" xfId="0" applyFont="1"/>
    <xf numFmtId="0" fontId="8" fillId="0" borderId="0" xfId="0" applyFont="1" applyAlignment="1">
      <alignment vertical="center"/>
    </xf>
    <xf numFmtId="0" fontId="3" fillId="0" borderId="0" xfId="0" applyFont="1" applyAlignment="1">
      <alignment horizontal="left" indent="1"/>
    </xf>
    <xf numFmtId="164" fontId="3" fillId="0" borderId="0" xfId="0" applyNumberFormat="1" applyFont="1" applyAlignment="1">
      <alignment horizontal="left" indent="1"/>
    </xf>
    <xf numFmtId="49" fontId="2" fillId="0" borderId="0" xfId="0" applyNumberFormat="1" applyFont="1"/>
    <xf numFmtId="0" fontId="2" fillId="0" borderId="0" xfId="0" applyFont="1" applyAlignment="1">
      <alignment horizontal="left"/>
    </xf>
    <xf numFmtId="0" fontId="2" fillId="0" borderId="0" xfId="0" applyFont="1" applyAlignment="1"/>
    <xf numFmtId="0" fontId="2" fillId="0" borderId="0" xfId="0" applyFont="1" applyAlignment="1">
      <alignment shrinkToFit="1"/>
    </xf>
    <xf numFmtId="164" fontId="2" fillId="0" borderId="0" xfId="0" applyNumberFormat="1" applyFont="1" applyAlignment="1">
      <alignment horizontal="left"/>
    </xf>
    <xf numFmtId="0" fontId="4" fillId="2" borderId="3" xfId="0" applyFont="1" applyFill="1" applyBorder="1"/>
    <xf numFmtId="0" fontId="4" fillId="2" borderId="0" xfId="0" applyFont="1" applyFill="1" applyBorder="1"/>
    <xf numFmtId="0" fontId="4" fillId="2" borderId="4" xfId="0" applyFont="1" applyFill="1" applyBorder="1"/>
    <xf numFmtId="0" fontId="9" fillId="0" borderId="5" xfId="0" applyFont="1" applyBorder="1" applyAlignment="1">
      <alignment horizontal="left"/>
    </xf>
    <xf numFmtId="0" fontId="9" fillId="0" borderId="7" xfId="0" applyFont="1" applyBorder="1" applyAlignment="1">
      <alignment horizontal="left"/>
    </xf>
    <xf numFmtId="0" fontId="9" fillId="0" borderId="9" xfId="0" applyFont="1" applyBorder="1" applyAlignment="1">
      <alignment horizontal="left"/>
    </xf>
    <xf numFmtId="0" fontId="2" fillId="0" borderId="1" xfId="0" applyFont="1" applyBorder="1" applyAlignment="1">
      <alignment horizontal="left"/>
    </xf>
    <xf numFmtId="0" fontId="2" fillId="0" borderId="6" xfId="0" applyFont="1" applyBorder="1"/>
    <xf numFmtId="0" fontId="2" fillId="0" borderId="2" xfId="0" applyFont="1" applyBorder="1" applyAlignment="1">
      <alignment horizontal="left"/>
    </xf>
    <xf numFmtId="0" fontId="2" fillId="0" borderId="8" xfId="0" applyFont="1" applyBorder="1"/>
    <xf numFmtId="164" fontId="2" fillId="0" borderId="2" xfId="0" applyNumberFormat="1" applyFont="1" applyBorder="1" applyAlignment="1">
      <alignment horizontal="left"/>
    </xf>
    <xf numFmtId="7" fontId="2" fillId="0" borderId="2" xfId="0" applyNumberFormat="1" applyFont="1" applyBorder="1" applyAlignment="1">
      <alignment horizontal="left"/>
    </xf>
    <xf numFmtId="7" fontId="2" fillId="0" borderId="10" xfId="0" applyNumberFormat="1" applyFont="1" applyBorder="1" applyAlignment="1">
      <alignment horizontal="left"/>
    </xf>
    <xf numFmtId="0" fontId="2" fillId="0" borderId="11" xfId="0" applyFont="1" applyBorder="1"/>
    <xf numFmtId="0" fontId="5" fillId="0" borderId="0" xfId="0" applyFont="1" applyAlignment="1">
      <alignment horizontal="right"/>
    </xf>
    <xf numFmtId="0" fontId="2" fillId="0" borderId="0" xfId="0" applyFont="1" applyAlignment="1">
      <alignment horizontal="left" indent="1"/>
    </xf>
    <xf numFmtId="0" fontId="10" fillId="0" borderId="0" xfId="0" applyFont="1"/>
    <xf numFmtId="44" fontId="12" fillId="3" borderId="12" xfId="0" applyNumberFormat="1" applyFont="1" applyFill="1" applyBorder="1"/>
    <xf numFmtId="0" fontId="13" fillId="0" borderId="0" xfId="0" applyFont="1"/>
    <xf numFmtId="0" fontId="12" fillId="3" borderId="13" xfId="0" applyFont="1" applyFill="1" applyBorder="1" applyAlignment="1">
      <alignment wrapText="1"/>
    </xf>
    <xf numFmtId="0" fontId="12" fillId="3" borderId="14" xfId="0" applyFont="1" applyFill="1" applyBorder="1" applyAlignment="1">
      <alignment wrapText="1"/>
    </xf>
    <xf numFmtId="14" fontId="0" fillId="4" borderId="13" xfId="0" applyNumberFormat="1" applyFont="1" applyFill="1" applyBorder="1" applyAlignment="1">
      <alignment wrapText="1"/>
    </xf>
    <xf numFmtId="0" fontId="0" fillId="4" borderId="13" xfId="0" applyFont="1" applyFill="1" applyBorder="1" applyAlignment="1">
      <alignment wrapText="1"/>
    </xf>
    <xf numFmtId="44" fontId="0" fillId="4" borderId="13" xfId="0" applyNumberFormat="1" applyFont="1" applyFill="1" applyBorder="1" applyAlignment="1">
      <alignment wrapText="1"/>
    </xf>
    <xf numFmtId="44" fontId="2" fillId="4" borderId="14" xfId="0" applyNumberFormat="1" applyFont="1" applyFill="1" applyBorder="1" applyAlignment="1">
      <alignment wrapText="1"/>
    </xf>
    <xf numFmtId="14" fontId="11" fillId="3" borderId="15" xfId="0" applyNumberFormat="1" applyFont="1" applyFill="1" applyBorder="1"/>
    <xf numFmtId="0" fontId="11" fillId="3" borderId="15" xfId="0" applyFont="1" applyFill="1" applyBorder="1"/>
    <xf numFmtId="44" fontId="11" fillId="3" borderId="15" xfId="0" applyNumberFormat="1" applyFont="1" applyFill="1" applyBorder="1"/>
    <xf numFmtId="44" fontId="12" fillId="3" borderId="15" xfId="0" applyNumberFormat="1" applyFont="1" applyFill="1" applyBorder="1"/>
    <xf numFmtId="14" fontId="0" fillId="0" borderId="0" xfId="0" applyNumberFormat="1"/>
    <xf numFmtId="0" fontId="0" fillId="0" borderId="0" xfId="0" applyNumberFormat="1"/>
    <xf numFmtId="0" fontId="0" fillId="5" borderId="0" xfId="0" applyFill="1"/>
    <xf numFmtId="0" fontId="0" fillId="4" borderId="13" xfId="0" applyFill="1" applyBorder="1" applyAlignment="1">
      <alignment wrapText="1"/>
    </xf>
  </cellXfs>
  <cellStyles count="1">
    <cellStyle name="Normal" xfId="0" builtinId="0" customBuiltin="1"/>
  </cellStyles>
  <dxfs count="0"/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3</xdr:row>
      <xdr:rowOff>0</xdr:rowOff>
    </xdr:from>
    <xdr:to>
      <xdr:col>11</xdr:col>
      <xdr:colOff>457200</xdr:colOff>
      <xdr:row>5</xdr:row>
      <xdr:rowOff>104775</xdr:rowOff>
    </xdr:to>
    <xdr:sp macro="[0]!updatedata.update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xmlns="" id="{96969B59-EB11-40E9-B1DF-77456F714CAC}"/>
            </a:ext>
          </a:extLst>
        </xdr:cNvPr>
        <xdr:cNvSpPr/>
      </xdr:nvSpPr>
      <xdr:spPr>
        <a:xfrm>
          <a:off x="9610725" y="800100"/>
          <a:ext cx="1143000" cy="542925"/>
        </a:xfrm>
        <a:prstGeom prst="roundRect">
          <a:avLst/>
        </a:prstGeom>
        <a:solidFill>
          <a:srgbClr val="727CA3"/>
        </a:solidFill>
        <a:ln w="19050" cap="flat" cmpd="sng" algn="ctr">
          <a:solidFill>
            <a:srgbClr val="727CA3">
              <a:shade val="15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Gill Sans MT"/>
              <a:ea typeface="+mn-ea"/>
              <a:cs typeface="+mn-cs"/>
            </a:rPr>
            <a:t>update tracker</a:t>
          </a:r>
        </a:p>
      </xdr:txBody>
    </xdr:sp>
    <xdr:clientData/>
  </xdr:twoCellAnchor>
  <xdr:twoCellAnchor>
    <xdr:from>
      <xdr:col>10</xdr:col>
      <xdr:colOff>76200</xdr:colOff>
      <xdr:row>7</xdr:row>
      <xdr:rowOff>76200</xdr:rowOff>
    </xdr:from>
    <xdr:to>
      <xdr:col>11</xdr:col>
      <xdr:colOff>638175</xdr:colOff>
      <xdr:row>11</xdr:row>
      <xdr:rowOff>0</xdr:rowOff>
    </xdr:to>
    <xdr:sp macro="[0]!getpdf" textlink="">
      <xdr:nvSpPr>
        <xdr:cNvPr id="4" name="Oval 3">
          <a:extLst>
            <a:ext uri="{FF2B5EF4-FFF2-40B4-BE49-F238E27FC236}">
              <a16:creationId xmlns:a16="http://schemas.microsoft.com/office/drawing/2014/main" xmlns="" id="{59D7584C-DD1F-16ED-DB97-6E69170D9770}"/>
            </a:ext>
          </a:extLst>
        </xdr:cNvPr>
        <xdr:cNvSpPr/>
      </xdr:nvSpPr>
      <xdr:spPr>
        <a:xfrm>
          <a:off x="9686925" y="1809750"/>
          <a:ext cx="1247775" cy="80010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1">
              <a:solidFill>
                <a:srgbClr val="FF0000"/>
              </a:solidFill>
            </a:rPr>
            <a:t>generate Bill</a:t>
          </a:r>
        </a:p>
      </xdr:txBody>
    </xdr:sp>
    <xdr:clientData/>
  </xdr:twoCellAnchor>
  <xdr:twoCellAnchor>
    <xdr:from>
      <xdr:col>10</xdr:col>
      <xdr:colOff>228600</xdr:colOff>
      <xdr:row>12</xdr:row>
      <xdr:rowOff>38100</xdr:rowOff>
    </xdr:from>
    <xdr:to>
      <xdr:col>12</xdr:col>
      <xdr:colOff>28575</xdr:colOff>
      <xdr:row>14</xdr:row>
      <xdr:rowOff>171450</xdr:rowOff>
    </xdr:to>
    <xdr:sp macro="[0]!newcus" textlink="">
      <xdr:nvSpPr>
        <xdr:cNvPr id="5" name="Rectangle: Rounded Corners 4">
          <a:extLst>
            <a:ext uri="{FF2B5EF4-FFF2-40B4-BE49-F238E27FC236}">
              <a16:creationId xmlns:a16="http://schemas.microsoft.com/office/drawing/2014/main" xmlns="" id="{379381E3-1ECC-16B3-09A2-617E07984A9F}"/>
            </a:ext>
          </a:extLst>
        </xdr:cNvPr>
        <xdr:cNvSpPr/>
      </xdr:nvSpPr>
      <xdr:spPr>
        <a:xfrm>
          <a:off x="9839325" y="2867025"/>
          <a:ext cx="1171575" cy="571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1">
              <a:solidFill>
                <a:srgbClr val="FF0000"/>
              </a:solidFill>
            </a:rPr>
            <a:t>NEW</a:t>
          </a:r>
        </a:p>
      </xdr:txBody>
    </xdr:sp>
    <xdr:clientData/>
  </xdr:twoCellAnchor>
  <xdr:twoCellAnchor>
    <xdr:from>
      <xdr:col>12</xdr:col>
      <xdr:colOff>657225</xdr:colOff>
      <xdr:row>7</xdr:row>
      <xdr:rowOff>19050</xdr:rowOff>
    </xdr:from>
    <xdr:to>
      <xdr:col>14</xdr:col>
      <xdr:colOff>485775</xdr:colOff>
      <xdr:row>9</xdr:row>
      <xdr:rowOff>161925</xdr:rowOff>
    </xdr:to>
    <xdr:sp macro="[0]!all" textlink="">
      <xdr:nvSpPr>
        <xdr:cNvPr id="6" name="Rectangle 5">
          <a:extLst>
            <a:ext uri="{FF2B5EF4-FFF2-40B4-BE49-F238E27FC236}">
              <a16:creationId xmlns:a16="http://schemas.microsoft.com/office/drawing/2014/main" xmlns="" id="{4600EC53-232F-29EE-689F-1AA67CDEAC17}"/>
            </a:ext>
          </a:extLst>
        </xdr:cNvPr>
        <xdr:cNvSpPr/>
      </xdr:nvSpPr>
      <xdr:spPr>
        <a:xfrm>
          <a:off x="11639550" y="1752600"/>
          <a:ext cx="1200150" cy="5810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1"/>
            <a:t>ALL</a:t>
          </a:r>
          <a:r>
            <a:rPr lang="en-US" sz="1400" b="1" baseline="0"/>
            <a:t> IN ONE</a:t>
          </a:r>
          <a:endParaRPr lang="en-US" sz="1400" b="1"/>
        </a:p>
      </xdr:txBody>
    </xdr:sp>
    <xdr:clientData/>
  </xdr:twoCellAnchor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Origin">
  <a:themeElements>
    <a:clrScheme name="Origin">
      <a:dk1>
        <a:sysClr val="windowText" lastClr="000000"/>
      </a:dk1>
      <a:lt1>
        <a:sysClr val="window" lastClr="FFFFFF"/>
      </a:lt1>
      <a:dk2>
        <a:srgbClr val="464653"/>
      </a:dk2>
      <a:lt2>
        <a:srgbClr val="DDE9EC"/>
      </a:lt2>
      <a:accent1>
        <a:srgbClr val="727CA3"/>
      </a:accent1>
      <a:accent2>
        <a:srgbClr val="9FB8CD"/>
      </a:accent2>
      <a:accent3>
        <a:srgbClr val="D2DA7A"/>
      </a:accent3>
      <a:accent4>
        <a:srgbClr val="FADA7A"/>
      </a:accent4>
      <a:accent5>
        <a:srgbClr val="B88472"/>
      </a:accent5>
      <a:accent6>
        <a:srgbClr val="8E736A"/>
      </a:accent6>
      <a:hlink>
        <a:srgbClr val="A599AE"/>
      </a:hlink>
      <a:folHlink>
        <a:srgbClr val="80758A"/>
      </a:folHlink>
    </a:clrScheme>
    <a:fontScheme name="Origin">
      <a:majorFont>
        <a:latin typeface="Bookman Old Style"/>
        <a:ea typeface=""/>
        <a:cs typeface=""/>
        <a:font script="Jpan" typeface="HG明朝E"/>
        <a:font script="Hang" typeface="돋움"/>
        <a:font script="Hans" typeface="宋体"/>
        <a:font script="Hant" typeface="標楷體"/>
        <a:font script="Arab" typeface="Times New Roman"/>
        <a:font script="Hebr" typeface="Times New Roman"/>
        <a:font script="Thai" typeface="Browalli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Gill Sans MT"/>
        <a:ea typeface=""/>
        <a:cs typeface=""/>
        <a:font script="Jpan" typeface="ＭＳ Ｐゴシック"/>
        <a:font script="Hang" typeface="맑은 고딕"/>
        <a:font script="Hans" typeface="黑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rigin">
      <a:fillStyleLst>
        <a:solidFill>
          <a:schemeClr val="phClr"/>
        </a:solidFill>
        <a:gradFill rotWithShape="1">
          <a:gsLst>
            <a:gs pos="0">
              <a:schemeClr val="phClr">
                <a:tint val="45000"/>
                <a:satMod val="200000"/>
              </a:schemeClr>
            </a:gs>
            <a:gs pos="30000">
              <a:schemeClr val="phClr">
                <a:tint val="61000"/>
                <a:satMod val="200000"/>
              </a:schemeClr>
            </a:gs>
            <a:gs pos="45000">
              <a:schemeClr val="phClr">
                <a:tint val="66000"/>
                <a:satMod val="200000"/>
              </a:schemeClr>
            </a:gs>
            <a:gs pos="55000">
              <a:schemeClr val="phClr">
                <a:tint val="66000"/>
                <a:satMod val="200000"/>
              </a:schemeClr>
            </a:gs>
            <a:gs pos="73000">
              <a:schemeClr val="phClr">
                <a:tint val="61000"/>
                <a:satMod val="200000"/>
              </a:schemeClr>
            </a:gs>
            <a:gs pos="100000">
              <a:schemeClr val="phClr">
                <a:tint val="45000"/>
                <a:satMod val="200000"/>
              </a:schemeClr>
            </a:gs>
          </a:gsLst>
          <a:lin ang="950000" scaled="1"/>
        </a:gradFill>
        <a:gradFill rotWithShape="1">
          <a:gsLst>
            <a:gs pos="0">
              <a:schemeClr val="phClr">
                <a:shade val="63000"/>
              </a:schemeClr>
            </a:gs>
            <a:gs pos="30000">
              <a:schemeClr val="phClr">
                <a:shade val="90000"/>
                <a:satMod val="110000"/>
              </a:schemeClr>
            </a:gs>
            <a:gs pos="45000">
              <a:schemeClr val="phClr">
                <a:shade val="100000"/>
                <a:satMod val="118000"/>
              </a:schemeClr>
            </a:gs>
            <a:gs pos="55000">
              <a:schemeClr val="phClr">
                <a:shade val="100000"/>
                <a:satMod val="118000"/>
              </a:schemeClr>
            </a:gs>
            <a:gs pos="73000">
              <a:schemeClr val="phClr">
                <a:shade val="90000"/>
                <a:satMod val="110000"/>
              </a:schemeClr>
            </a:gs>
            <a:gs pos="100000">
              <a:schemeClr val="phClr">
                <a:shade val="63000"/>
              </a:schemeClr>
            </a:gs>
          </a:gsLst>
          <a:lin ang="950000" scaled="1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381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43000" dir="5400000" rotWithShape="0">
              <a:srgbClr val="000000">
                <a:alpha val="40000"/>
              </a:srgbClr>
            </a:outerShdw>
          </a:effectLst>
          <a:scene3d>
            <a:camera prst="orthographicFront" fov="0">
              <a:rot lat="0" lon="0" rev="0"/>
            </a:camera>
            <a:lightRig rig="balanced" dir="t">
              <a:rot lat="0" lon="0" rev="0"/>
            </a:lightRig>
          </a:scene3d>
          <a:sp3d contourW="27500" prstMaterial="matte">
            <a:bevelT w="0" h="0"/>
            <a:contourClr>
              <a:schemeClr val="phClr">
                <a:tint val="0"/>
                <a:shade val="100000"/>
                <a:hueMod val="100000"/>
                <a:satMod val="100000"/>
              </a:schemeClr>
            </a:contourClr>
          </a:sp3d>
        </a:effectStyle>
        <a:effectStyle>
          <a:effectLst>
            <a:outerShdw blurRad="50800" dist="25400" dir="5400000" rotWithShape="0">
              <a:srgbClr val="000000">
                <a:alpha val="50000"/>
              </a:srgbClr>
            </a:outerShdw>
          </a:effectLst>
          <a:scene3d>
            <a:camera prst="orthographicFront" fov="0">
              <a:rot lat="0" lon="0" rev="0"/>
            </a:camera>
            <a:lightRig rig="soft" dir="t">
              <a:rot lat="0" lon="0" rev="2700000"/>
            </a:lightRig>
          </a:scene3d>
          <a:sp3d prstMaterial="matte">
            <a:bevelT w="50800" h="508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60000"/>
                <a:satMod val="300000"/>
              </a:schemeClr>
            </a:gs>
            <a:gs pos="30000">
              <a:schemeClr val="phClr">
                <a:shade val="80000"/>
                <a:satMod val="230000"/>
              </a:schemeClr>
            </a:gs>
            <a:gs pos="100000">
              <a:schemeClr val="phClr">
                <a:tint val="97000"/>
                <a:satMod val="220000"/>
              </a:schemeClr>
            </a:gs>
          </a:gsLst>
          <a:lin ang="16200000" scaled="1"/>
        </a:gradFill>
        <a:blipFill>
          <a:blip xmlns:r="http://schemas.openxmlformats.org/officeDocument/2006/relationships" r:embed="rId1">
            <a:duotone>
              <a:schemeClr val="phClr">
                <a:satMod val="350000"/>
              </a:schemeClr>
              <a:schemeClr val="phClr">
                <a:tint val="83000"/>
              </a:schemeClr>
            </a:duotone>
          </a:blip>
          <a:tile tx="0" ty="0" sx="100000" sy="100000" flip="x" algn="t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B1:H26"/>
  <sheetViews>
    <sheetView showGridLines="0" tabSelected="1" workbookViewId="0">
      <selection activeCell="I18" sqref="I18"/>
    </sheetView>
  </sheetViews>
  <sheetFormatPr defaultRowHeight="17.25"/>
  <cols>
    <col min="1" max="1" width="1.125" customWidth="1"/>
    <col min="2" max="2" width="16.25" customWidth="1"/>
    <col min="3" max="3" width="15.625" customWidth="1"/>
    <col min="4" max="4" width="20.625" customWidth="1"/>
    <col min="5" max="5" width="22.625" customWidth="1"/>
    <col min="6" max="8" width="10.625" customWidth="1"/>
  </cols>
  <sheetData>
    <row r="1" spans="2:8" ht="28.5" customHeight="1">
      <c r="B1" s="8" t="s">
        <v>0</v>
      </c>
      <c r="C1" s="2"/>
      <c r="D1" s="2"/>
      <c r="E1" s="4"/>
      <c r="F1" s="4"/>
      <c r="G1" s="4"/>
      <c r="H1" s="4"/>
    </row>
    <row r="2" spans="2:8">
      <c r="B2" s="31" t="s">
        <v>1</v>
      </c>
      <c r="C2" s="1"/>
      <c r="D2" s="1"/>
      <c r="E2" s="30" t="s">
        <v>2</v>
      </c>
      <c r="F2" s="11" t="s">
        <v>3</v>
      </c>
      <c r="H2" s="1"/>
    </row>
    <row r="3" spans="2:8">
      <c r="B3" s="31" t="s">
        <v>4</v>
      </c>
      <c r="C3" s="1"/>
      <c r="D3" s="1"/>
      <c r="E3" s="30" t="s">
        <v>5</v>
      </c>
      <c r="F3" s="11" t="s">
        <v>6</v>
      </c>
      <c r="H3" s="1"/>
    </row>
    <row r="4" spans="2:8">
      <c r="B4" s="31" t="s">
        <v>7</v>
      </c>
      <c r="C4" s="1"/>
      <c r="D4" s="1"/>
      <c r="E4" s="30" t="s">
        <v>8</v>
      </c>
      <c r="F4" s="1" t="s">
        <v>9</v>
      </c>
      <c r="G4" s="32"/>
      <c r="H4" s="1"/>
    </row>
    <row r="5" spans="2:8">
      <c r="B5" s="1"/>
      <c r="C5" s="1"/>
      <c r="D5" s="1"/>
      <c r="E5" s="1"/>
      <c r="F5" s="12"/>
      <c r="G5" s="1"/>
      <c r="H5" s="1"/>
    </row>
    <row r="6" spans="2:8" ht="21.75">
      <c r="B6" s="5" t="s">
        <v>10</v>
      </c>
      <c r="C6" s="1"/>
      <c r="D6" s="1"/>
      <c r="E6" s="1"/>
      <c r="F6" s="12"/>
      <c r="G6" s="1"/>
      <c r="H6" s="1"/>
    </row>
    <row r="7" spans="2:8">
      <c r="B7" s="1"/>
      <c r="C7" s="1"/>
      <c r="D7" s="1"/>
      <c r="E7" s="1"/>
      <c r="F7" s="12"/>
      <c r="G7" s="1"/>
      <c r="H7" s="1"/>
    </row>
    <row r="8" spans="2:8">
      <c r="B8" s="30" t="s">
        <v>11</v>
      </c>
      <c r="C8" s="13" t="s">
        <v>12</v>
      </c>
      <c r="D8" s="9"/>
      <c r="E8" s="30" t="s">
        <v>13</v>
      </c>
      <c r="F8" s="13" t="s">
        <v>30</v>
      </c>
      <c r="G8" s="34" t="s">
        <v>36</v>
      </c>
      <c r="H8" s="14"/>
    </row>
    <row r="9" spans="2:8">
      <c r="B9" s="30" t="s">
        <v>14</v>
      </c>
      <c r="C9" s="15">
        <f ca="1">TODAY()</f>
        <v>46059</v>
      </c>
      <c r="D9" s="10"/>
      <c r="E9" s="1"/>
      <c r="F9" s="13" t="s">
        <v>15</v>
      </c>
      <c r="H9" s="14"/>
    </row>
    <row r="10" spans="2:8">
      <c r="B10" s="30" t="s">
        <v>16</v>
      </c>
      <c r="C10" s="13" t="s">
        <v>17</v>
      </c>
      <c r="D10" s="9"/>
      <c r="E10" s="1"/>
      <c r="F10" s="13" t="s">
        <v>1</v>
      </c>
      <c r="H10" s="14"/>
    </row>
    <row r="11" spans="2:8">
      <c r="B11" s="1"/>
      <c r="C11" s="1"/>
      <c r="D11" s="1"/>
      <c r="E11" s="1"/>
      <c r="F11" s="13" t="s">
        <v>4</v>
      </c>
      <c r="H11" s="14"/>
    </row>
    <row r="12" spans="2:8">
      <c r="B12" s="1"/>
      <c r="C12" s="1"/>
      <c r="D12" s="1"/>
      <c r="E12" s="1"/>
      <c r="F12" s="13" t="s">
        <v>7</v>
      </c>
      <c r="H12" s="14"/>
    </row>
    <row r="13" spans="2:8">
      <c r="B13" s="4"/>
      <c r="C13" s="4"/>
      <c r="D13" s="4"/>
      <c r="E13" s="4"/>
      <c r="F13" s="4"/>
      <c r="G13" s="4"/>
      <c r="H13" s="4"/>
    </row>
    <row r="14" spans="2:8" ht="17.25" customHeight="1">
      <c r="B14" s="35" t="s">
        <v>18</v>
      </c>
      <c r="C14" s="35" t="s">
        <v>33</v>
      </c>
      <c r="D14" s="35" t="s">
        <v>34</v>
      </c>
      <c r="E14" s="35" t="s">
        <v>35</v>
      </c>
      <c r="F14" s="35" t="s">
        <v>19</v>
      </c>
      <c r="G14" s="35" t="s">
        <v>20</v>
      </c>
      <c r="H14" s="36" t="s">
        <v>21</v>
      </c>
    </row>
    <row r="15" spans="2:8" ht="18" thickBot="1">
      <c r="B15" s="37">
        <v>46059</v>
      </c>
      <c r="C15" s="38">
        <v>4</v>
      </c>
      <c r="D15" s="48">
        <v>40</v>
      </c>
      <c r="E15" s="38">
        <v>3</v>
      </c>
      <c r="F15" s="39">
        <f>D15*E15</f>
        <v>120</v>
      </c>
      <c r="G15" s="39"/>
      <c r="H15" s="40">
        <f>'Billing Statement'!$F$15:$F$15-'Billing Statement'!$G$15:$G$15</f>
        <v>120</v>
      </c>
    </row>
    <row r="16" spans="2:8">
      <c r="B16" s="41"/>
      <c r="C16" s="42"/>
      <c r="D16" s="42"/>
      <c r="E16" s="42"/>
      <c r="F16" s="43"/>
      <c r="G16" s="44" t="s">
        <v>27</v>
      </c>
      <c r="H16" s="33">
        <f>SUBTOTAL(109,'Billing Statement'!$H$15:$H$15)</f>
        <v>120</v>
      </c>
    </row>
    <row r="17" spans="2:8">
      <c r="B17" s="3" t="s">
        <v>28</v>
      </c>
      <c r="C17" s="6"/>
      <c r="D17" s="7"/>
      <c r="E17" s="7"/>
      <c r="F17" s="1"/>
      <c r="G17" s="4"/>
      <c r="H17" s="4"/>
    </row>
    <row r="18" spans="2:8">
      <c r="B18" s="3" t="s">
        <v>29</v>
      </c>
      <c r="C18" s="6"/>
      <c r="D18" s="1"/>
      <c r="E18" s="1"/>
      <c r="F18" s="1"/>
      <c r="G18" s="4"/>
      <c r="H18" s="4"/>
    </row>
    <row r="19" spans="2:8">
      <c r="B19" s="1"/>
      <c r="C19" s="1"/>
      <c r="D19" s="1"/>
      <c r="E19" s="1"/>
      <c r="F19" s="1"/>
      <c r="G19" s="4"/>
      <c r="H19" s="4"/>
    </row>
    <row r="20" spans="2:8">
      <c r="B20" s="16" t="s">
        <v>22</v>
      </c>
      <c r="C20" s="17"/>
      <c r="D20" s="17"/>
      <c r="E20" s="18"/>
      <c r="F20" s="1"/>
      <c r="G20" s="4"/>
      <c r="H20" s="4"/>
    </row>
    <row r="21" spans="2:8">
      <c r="B21" s="19" t="s">
        <v>23</v>
      </c>
      <c r="C21" s="22" t="s">
        <v>24</v>
      </c>
      <c r="D21" s="22"/>
      <c r="E21" s="23"/>
      <c r="F21" s="1"/>
      <c r="G21" s="4"/>
      <c r="H21" s="4"/>
    </row>
    <row r="22" spans="2:8">
      <c r="B22" s="19" t="s">
        <v>16</v>
      </c>
      <c r="C22" s="22" t="str">
        <f>C10</f>
        <v>Enter customer ID</v>
      </c>
      <c r="D22" s="22"/>
      <c r="E22" s="23"/>
      <c r="F22" s="1"/>
      <c r="G22" s="4"/>
      <c r="H22" s="4"/>
    </row>
    <row r="23" spans="2:8">
      <c r="B23" s="20" t="s">
        <v>11</v>
      </c>
      <c r="C23" s="24" t="str">
        <f>C8</f>
        <v>Enter statement number</v>
      </c>
      <c r="D23" s="24"/>
      <c r="E23" s="25"/>
      <c r="F23" s="1"/>
      <c r="G23" s="4"/>
      <c r="H23" s="4"/>
    </row>
    <row r="24" spans="2:8">
      <c r="B24" s="20" t="s">
        <v>14</v>
      </c>
      <c r="C24" s="26">
        <f ca="1">C9</f>
        <v>46059</v>
      </c>
      <c r="D24" s="26"/>
      <c r="E24" s="25"/>
      <c r="F24" s="1"/>
      <c r="G24" s="4"/>
      <c r="H24" s="4"/>
    </row>
    <row r="25" spans="2:8">
      <c r="B25" s="20" t="s">
        <v>25</v>
      </c>
      <c r="C25" s="27">
        <f>'Billing Statement'!$H$16</f>
        <v>120</v>
      </c>
      <c r="D25" s="27"/>
      <c r="E25" s="25"/>
      <c r="F25" s="1"/>
      <c r="G25" s="4"/>
      <c r="H25" s="4"/>
    </row>
    <row r="26" spans="2:8">
      <c r="B26" s="21" t="s">
        <v>26</v>
      </c>
      <c r="C26" s="28"/>
      <c r="D26" s="28"/>
      <c r="E26" s="29"/>
      <c r="F26" s="1"/>
      <c r="G26" s="4"/>
      <c r="H26" s="4"/>
    </row>
  </sheetData>
  <printOptions horizontalCentered="1"/>
  <pageMargins left="0.5" right="0.5" top="0.5" bottom="0.5" header="0.25" footer="0.25"/>
  <pageSetup scale="57" fitToHeight="0" orientation="portrait" horizontalDpi="4294967294" r:id="rId1"/>
  <headerFooter>
    <oddHeader>&amp;L&amp;K000000</oddHeader>
    <oddFooter>&amp;C&amp;10Page 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H2"/>
  <sheetViews>
    <sheetView workbookViewId="0">
      <selection activeCell="B7" sqref="B7"/>
    </sheetView>
  </sheetViews>
  <sheetFormatPr defaultRowHeight="17.25"/>
  <cols>
    <col min="1" max="1" width="10.125" bestFit="1" customWidth="1"/>
    <col min="2" max="2" width="13.5" bestFit="1" customWidth="1"/>
    <col min="3" max="7" width="10.125" bestFit="1" customWidth="1"/>
    <col min="8" max="8" width="13.125" bestFit="1" customWidth="1"/>
  </cols>
  <sheetData>
    <row r="1" spans="1:8">
      <c r="A1" s="47" t="s">
        <v>18</v>
      </c>
      <c r="B1" s="47" t="s">
        <v>33</v>
      </c>
      <c r="C1" s="47" t="s">
        <v>34</v>
      </c>
      <c r="D1" s="47" t="s">
        <v>35</v>
      </c>
      <c r="E1" s="47" t="s">
        <v>19</v>
      </c>
      <c r="F1" s="47" t="s">
        <v>20</v>
      </c>
      <c r="G1" s="47" t="s">
        <v>21</v>
      </c>
      <c r="H1" s="47" t="s">
        <v>32</v>
      </c>
    </row>
    <row r="2" spans="1:8">
      <c r="A2" s="45">
        <f>'Billing Statement'!B15</f>
        <v>46059</v>
      </c>
      <c r="B2" s="46">
        <f>'Billing Statement'!C15</f>
        <v>4</v>
      </c>
      <c r="C2" s="46">
        <f>'Billing Statement'!D15</f>
        <v>40</v>
      </c>
      <c r="D2" s="46">
        <f>'Billing Statement'!E15</f>
        <v>3</v>
      </c>
      <c r="E2" s="46">
        <f>'Billing Statement'!F15</f>
        <v>120</v>
      </c>
      <c r="F2" s="46">
        <f>'Billing Statement'!G15</f>
        <v>0</v>
      </c>
      <c r="G2" s="46">
        <f>'Billing Statement'!H15</f>
        <v>120</v>
      </c>
      <c r="H2" s="46" t="str">
        <f>'Billing Statement'!G8</f>
        <v>XYZ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H20"/>
  <sheetViews>
    <sheetView workbookViewId="0">
      <selection activeCell="A20" sqref="A20:G20"/>
    </sheetView>
  </sheetViews>
  <sheetFormatPr defaultRowHeight="17.25"/>
  <cols>
    <col min="1" max="1" width="10.125" bestFit="1" customWidth="1"/>
    <col min="2" max="2" width="13.5" bestFit="1" customWidth="1"/>
    <col min="5" max="5" width="9.625" bestFit="1" customWidth="1"/>
    <col min="8" max="8" width="13.125" bestFit="1" customWidth="1"/>
  </cols>
  <sheetData>
    <row r="1" spans="1:8">
      <c r="A1" s="47" t="s">
        <v>18</v>
      </c>
      <c r="B1" s="47" t="s">
        <v>33</v>
      </c>
      <c r="C1" s="47" t="s">
        <v>34</v>
      </c>
      <c r="D1" s="47" t="s">
        <v>35</v>
      </c>
      <c r="E1" s="47" t="s">
        <v>19</v>
      </c>
      <c r="F1" s="47" t="s">
        <v>20</v>
      </c>
      <c r="G1" s="47" t="s">
        <v>21</v>
      </c>
      <c r="H1" s="47" t="s">
        <v>32</v>
      </c>
    </row>
    <row r="2" spans="1:8">
      <c r="A2" s="45">
        <f>'Billing Statement'!B15</f>
        <v>46059</v>
      </c>
      <c r="B2" s="46">
        <f>'Billing Statement'!C15</f>
        <v>4</v>
      </c>
      <c r="C2" s="46">
        <f>'Billing Statement'!D15</f>
        <v>40</v>
      </c>
      <c r="D2" s="46">
        <f>'Billing Statement'!E15</f>
        <v>3</v>
      </c>
      <c r="E2" s="46">
        <f>'Billing Statement'!F15</f>
        <v>120</v>
      </c>
      <c r="F2" s="46">
        <f>'Billing Statement'!G15</f>
        <v>0</v>
      </c>
      <c r="G2" s="46">
        <f>'Billing Statement'!H15</f>
        <v>120</v>
      </c>
      <c r="H2" s="46" t="str">
        <f>'Billing Statement'!G8</f>
        <v>XYZ</v>
      </c>
    </row>
    <row r="3" spans="1:8">
      <c r="A3" s="45">
        <v>45315</v>
      </c>
      <c r="B3" s="46">
        <v>123</v>
      </c>
      <c r="C3" s="46">
        <v>20</v>
      </c>
      <c r="D3" s="46">
        <v>2</v>
      </c>
      <c r="E3" s="46">
        <v>40</v>
      </c>
      <c r="F3" s="46">
        <v>30</v>
      </c>
      <c r="G3" s="46">
        <v>10</v>
      </c>
      <c r="H3" s="46" t="s">
        <v>31</v>
      </c>
    </row>
    <row r="4" spans="1:8">
      <c r="A4" s="37">
        <v>45687</v>
      </c>
      <c r="B4" s="38">
        <v>250</v>
      </c>
      <c r="C4" s="38">
        <v>25</v>
      </c>
      <c r="D4" s="38">
        <v>10</v>
      </c>
      <c r="E4" s="39">
        <f t="shared" ref="E4:E11" si="0">C4*D4</f>
        <v>250</v>
      </c>
      <c r="F4" s="39">
        <v>30</v>
      </c>
      <c r="G4" s="40">
        <f>'Billing Statement'!$F$15:$F$15-'Billing Statement'!$G$15:$G$15</f>
        <v>120</v>
      </c>
      <c r="H4" t="s">
        <v>31</v>
      </c>
    </row>
    <row r="5" spans="1:8">
      <c r="A5" s="37">
        <v>45687</v>
      </c>
      <c r="B5" s="38">
        <v>250</v>
      </c>
      <c r="C5" s="38">
        <v>25</v>
      </c>
      <c r="D5" s="38">
        <v>10</v>
      </c>
      <c r="E5" s="39">
        <f t="shared" si="0"/>
        <v>250</v>
      </c>
      <c r="F5" s="39">
        <v>30</v>
      </c>
      <c r="G5" s="40">
        <f>'Billing Statement'!$F$15:$F$15-'Billing Statement'!$G$15:$G$15</f>
        <v>120</v>
      </c>
    </row>
    <row r="6" spans="1:8">
      <c r="A6" s="37">
        <v>45713</v>
      </c>
      <c r="B6" s="38">
        <v>300</v>
      </c>
      <c r="C6" s="38">
        <v>230</v>
      </c>
      <c r="D6" s="38">
        <v>15</v>
      </c>
      <c r="E6" s="39">
        <f t="shared" si="0"/>
        <v>3450</v>
      </c>
      <c r="F6" s="39">
        <v>30</v>
      </c>
      <c r="G6" s="40">
        <f>'Billing Statement'!$F$15:$F$15-'Billing Statement'!$G$15:$G$15</f>
        <v>120</v>
      </c>
    </row>
    <row r="7" spans="1:8">
      <c r="A7" s="37">
        <v>45713</v>
      </c>
      <c r="B7" s="38">
        <v>300</v>
      </c>
      <c r="C7" s="38">
        <v>230</v>
      </c>
      <c r="D7" s="38">
        <v>15</v>
      </c>
      <c r="E7" s="39">
        <f t="shared" si="0"/>
        <v>3450</v>
      </c>
      <c r="F7" s="39">
        <v>30</v>
      </c>
      <c r="G7" s="40">
        <f>'Billing Statement'!$F$15:$F$15-'Billing Statement'!$G$15:$G$15</f>
        <v>120</v>
      </c>
    </row>
    <row r="8" spans="1:8">
      <c r="A8" s="37">
        <v>45713</v>
      </c>
      <c r="B8" s="38">
        <v>300</v>
      </c>
      <c r="C8" s="38">
        <v>230</v>
      </c>
      <c r="D8" s="38">
        <v>15</v>
      </c>
      <c r="E8" s="39">
        <f t="shared" si="0"/>
        <v>3450</v>
      </c>
      <c r="F8" s="39">
        <v>30</v>
      </c>
      <c r="G8" s="40">
        <f>'Billing Statement'!$F$15:$F$15-'Billing Statement'!$G$15:$G$15</f>
        <v>120</v>
      </c>
    </row>
    <row r="9" spans="1:8">
      <c r="A9" s="37">
        <v>45762</v>
      </c>
      <c r="B9" s="38">
        <v>400</v>
      </c>
      <c r="C9" s="38">
        <v>130</v>
      </c>
      <c r="D9" s="38">
        <v>5</v>
      </c>
      <c r="E9" s="39">
        <f t="shared" si="0"/>
        <v>650</v>
      </c>
      <c r="F9" s="39">
        <v>50</v>
      </c>
      <c r="G9" s="40">
        <f>'Billing Statement'!$F$15:$F$15-'Billing Statement'!$G$15:$G$15</f>
        <v>120</v>
      </c>
    </row>
    <row r="10" spans="1:8">
      <c r="A10" s="37">
        <v>45750</v>
      </c>
      <c r="B10" s="38">
        <v>2</v>
      </c>
      <c r="C10" s="38">
        <v>120</v>
      </c>
      <c r="D10" s="38">
        <v>3</v>
      </c>
      <c r="E10" s="39">
        <f t="shared" si="0"/>
        <v>360</v>
      </c>
      <c r="F10" s="39">
        <v>220</v>
      </c>
      <c r="G10" s="40">
        <f>'Billing Statement'!$F$15:$F$15-'Billing Statement'!$G$15:$G$15</f>
        <v>120</v>
      </c>
    </row>
    <row r="11" spans="1:8">
      <c r="A11" s="37">
        <v>45750</v>
      </c>
      <c r="B11" s="38">
        <v>4</v>
      </c>
      <c r="C11" s="38">
        <v>2</v>
      </c>
      <c r="D11" s="38">
        <v>5</v>
      </c>
      <c r="E11" s="39">
        <f t="shared" si="0"/>
        <v>10</v>
      </c>
      <c r="F11" s="39">
        <v>50</v>
      </c>
      <c r="G11" s="40">
        <f>'Billing Statement'!$F$15:$F$15-'Billing Statement'!$G$15:$G$15</f>
        <v>120</v>
      </c>
    </row>
    <row r="12" spans="1:8">
      <c r="A12" s="37">
        <v>46113</v>
      </c>
      <c r="B12" s="38">
        <v>2</v>
      </c>
      <c r="C12" s="48">
        <v>3</v>
      </c>
      <c r="D12" s="38">
        <v>25</v>
      </c>
      <c r="E12" s="39">
        <f>C12*D12</f>
        <v>75</v>
      </c>
      <c r="F12" s="39"/>
      <c r="G12" s="40">
        <f>'Billing Statement'!$F$15:$F$15-'Billing Statement'!$G$15:$G$15</f>
        <v>120</v>
      </c>
    </row>
    <row r="13" spans="1:8">
      <c r="A13" s="37">
        <v>46113</v>
      </c>
      <c r="B13" s="38">
        <v>2</v>
      </c>
      <c r="C13" s="48">
        <v>3</v>
      </c>
      <c r="D13" s="38">
        <v>25</v>
      </c>
      <c r="E13" s="39">
        <f>C13*D13</f>
        <v>75</v>
      </c>
      <c r="F13" s="39"/>
      <c r="G13" s="40">
        <f>'Billing Statement'!$F$15:$F$15-'Billing Statement'!$G$15:$G$15</f>
        <v>120</v>
      </c>
    </row>
    <row r="14" spans="1:8">
      <c r="A14" s="37">
        <v>46113</v>
      </c>
      <c r="B14" s="38">
        <v>2</v>
      </c>
      <c r="C14" s="48">
        <v>3</v>
      </c>
      <c r="D14" s="38">
        <v>25</v>
      </c>
      <c r="E14" s="39">
        <f>C14*D14</f>
        <v>75</v>
      </c>
      <c r="F14" s="39"/>
      <c r="G14" s="40">
        <f>'Billing Statement'!$F$15:$F$15-'Billing Statement'!$G$15:$G$15</f>
        <v>120</v>
      </c>
    </row>
    <row r="15" spans="1:8">
      <c r="A15" s="37">
        <v>46113</v>
      </c>
      <c r="B15" s="38">
        <v>2</v>
      </c>
      <c r="C15" s="48">
        <v>3</v>
      </c>
      <c r="D15" s="38">
        <v>25</v>
      </c>
      <c r="E15" s="39">
        <f>C15*D15</f>
        <v>75</v>
      </c>
      <c r="F15" s="39"/>
      <c r="G15" s="40">
        <f>'Billing Statement'!$F$15:$F$15-'Billing Statement'!$G$15:$G$15</f>
        <v>120</v>
      </c>
    </row>
    <row r="16" spans="1:8">
      <c r="A16" s="37">
        <v>46059</v>
      </c>
      <c r="B16" s="38">
        <v>3</v>
      </c>
      <c r="C16" s="48">
        <v>30</v>
      </c>
      <c r="D16" s="38">
        <v>5</v>
      </c>
      <c r="E16" s="39">
        <f>C16*D16</f>
        <v>150</v>
      </c>
      <c r="F16" s="39"/>
      <c r="G16" s="40">
        <f>'Billing Statement'!$F$15:$F$15-'Billing Statement'!$G$15:$G$15</f>
        <v>120</v>
      </c>
    </row>
    <row r="17" spans="1:7">
      <c r="A17" s="37">
        <v>46059</v>
      </c>
      <c r="B17" s="38">
        <v>3</v>
      </c>
      <c r="C17" s="48">
        <v>30</v>
      </c>
      <c r="D17" s="38">
        <v>5</v>
      </c>
      <c r="E17" s="39">
        <f>C17*D17</f>
        <v>150</v>
      </c>
      <c r="F17" s="39"/>
      <c r="G17" s="40">
        <f>'Billing Statement'!$F$15:$F$15-'Billing Statement'!$G$15:$G$15</f>
        <v>120</v>
      </c>
    </row>
    <row r="18" spans="1:7">
      <c r="A18" s="37">
        <v>46059</v>
      </c>
      <c r="B18" s="38">
        <v>3</v>
      </c>
      <c r="C18" s="48">
        <v>30</v>
      </c>
      <c r="D18" s="38">
        <v>5</v>
      </c>
      <c r="E18" s="39">
        <f>C18*D18</f>
        <v>150</v>
      </c>
      <c r="F18" s="39"/>
      <c r="G18" s="40">
        <f>'Billing Statement'!$F$15:$F$15-'Billing Statement'!$G$15:$G$15</f>
        <v>120</v>
      </c>
    </row>
    <row r="19" spans="1:7">
      <c r="A19" s="37">
        <v>46059</v>
      </c>
      <c r="B19" s="38">
        <v>3</v>
      </c>
      <c r="C19" s="48">
        <v>30</v>
      </c>
      <c r="D19" s="38">
        <v>5</v>
      </c>
      <c r="E19" s="39">
        <f>C19*D19</f>
        <v>150</v>
      </c>
      <c r="F19" s="39"/>
      <c r="G19" s="40">
        <f>'Billing Statement'!$F$15:$F$15-'Billing Statement'!$G$15:$G$15</f>
        <v>120</v>
      </c>
    </row>
    <row r="20" spans="1:7">
      <c r="A20" s="37">
        <v>46059</v>
      </c>
      <c r="B20" s="38">
        <v>4</v>
      </c>
      <c r="C20" s="48">
        <v>40</v>
      </c>
      <c r="D20" s="38">
        <v>3</v>
      </c>
      <c r="E20" s="39">
        <f>C20*D20</f>
        <v>120</v>
      </c>
      <c r="F20" s="39"/>
      <c r="G20" s="40">
        <f>'Billing Statement'!$F$15:$F$15-'Billing Statement'!$G$15:$G$15</f>
        <v>120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Billing Statement</vt:lpstr>
      <vt:lpstr>Billing Record</vt:lpstr>
      <vt:lpstr>Billing Tracker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PRASHANTH GM</cp:lastModifiedBy>
  <cp:lastPrinted>2026-02-06T13:31:04Z</cp:lastPrinted>
  <dcterms:created xsi:type="dcterms:W3CDTF">2006-09-15T19:15:53Z</dcterms:created>
  <dcterms:modified xsi:type="dcterms:W3CDTF">2026-02-06T13:33:39Z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LCID">
    <vt:i4>1033</vt:i4>
  </property>
  <property fmtid="{D5CDD505-2E9C-101B-9397-08002B2CF9AE}" pid="3" name="_Version">
    <vt:lpwstr>0908</vt:lpwstr>
  </property>
</Properties>
</file>